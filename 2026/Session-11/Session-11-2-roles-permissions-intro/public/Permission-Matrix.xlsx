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fewa-my.sharepoint.com/personal/adrian_gould_nmtafe_wa_edu_au/Documents/Microsoft Teams Chat Files/"/>
    </mc:Choice>
  </mc:AlternateContent>
  <xr:revisionPtr revIDLastSave="17" documentId="8_{42015D15-B8CC-4FF2-8DB7-6C17BB36973C}" xr6:coauthVersionLast="47" xr6:coauthVersionMax="47" xr10:uidLastSave="{AD8B8760-03C5-4695-9E58-37389BAFED43}"/>
  <bookViews>
    <workbookView xWindow="28680" yWindow="-120" windowWidth="29040" windowHeight="15720" xr2:uid="{2A735E20-743B-4CE5-9284-A4B47C014E5E}"/>
  </bookViews>
  <sheets>
    <sheet name="Permission Map Blank" sheetId="3" r:id="rId1"/>
    <sheet name="Permission Map Example 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3" l="1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34" i="1"/>
  <c r="E6" i="1"/>
  <c r="E8" i="1"/>
  <c r="E11" i="1"/>
  <c r="E16" i="1"/>
  <c r="E24" i="1"/>
  <c r="E5" i="1"/>
  <c r="E7" i="1"/>
  <c r="E9" i="1"/>
  <c r="E10" i="1"/>
  <c r="E12" i="1"/>
  <c r="E13" i="1"/>
  <c r="E14" i="1"/>
  <c r="E15" i="1"/>
  <c r="E17" i="1"/>
  <c r="E18" i="1"/>
  <c r="E19" i="1"/>
  <c r="E20" i="1"/>
  <c r="E21" i="1"/>
  <c r="E22" i="1"/>
  <c r="E23" i="1"/>
  <c r="E25" i="1"/>
  <c r="E26" i="1"/>
  <c r="E27" i="1"/>
  <c r="E28" i="1"/>
  <c r="E29" i="1"/>
  <c r="E30" i="1"/>
  <c r="E31" i="1"/>
  <c r="E32" i="1"/>
  <c r="E33" i="1"/>
</calcChain>
</file>

<file path=xl/sharedStrings.xml><?xml version="1.0" encoding="utf-8"?>
<sst xmlns="http://schemas.openxmlformats.org/spreadsheetml/2006/main" count="272" uniqueCount="75">
  <si>
    <t>Feature</t>
  </si>
  <si>
    <t>Action</t>
  </si>
  <si>
    <t>Authenticated</t>
  </si>
  <si>
    <t>Roles</t>
  </si>
  <si>
    <t>Super Admin</t>
  </si>
  <si>
    <t>Admin</t>
  </si>
  <si>
    <t>Staff</t>
  </si>
  <si>
    <t>Client</t>
  </si>
  <si>
    <t>Guest</t>
  </si>
  <si>
    <t>Home</t>
  </si>
  <si>
    <t>Route</t>
  </si>
  <si>
    <t>/</t>
  </si>
  <si>
    <t>Route Name</t>
  </si>
  <si>
    <t>About</t>
  </si>
  <si>
    <t>/about</t>
  </si>
  <si>
    <t>Contact Us</t>
  </si>
  <si>
    <t>/contact-us</t>
  </si>
  <si>
    <t>Authentication</t>
  </si>
  <si>
    <t>/register</t>
  </si>
  <si>
    <t>/logout</t>
  </si>
  <si>
    <t>/login</t>
  </si>
  <si>
    <t>/reset-password</t>
  </si>
  <si>
    <t>N</t>
  </si>
  <si>
    <t>Y</t>
  </si>
  <si>
    <t>store</t>
  </si>
  <si>
    <t>register</t>
  </si>
  <si>
    <t>login</t>
  </si>
  <si>
    <t>logout</t>
  </si>
  <si>
    <t>reset_password</t>
  </si>
  <si>
    <t>contact_us</t>
  </si>
  <si>
    <t>Contacts</t>
  </si>
  <si>
    <t>read</t>
  </si>
  <si>
    <t>index</t>
  </si>
  <si>
    <t>CRUD/BREAD</t>
  </si>
  <si>
    <t>B</t>
  </si>
  <si>
    <t>R</t>
  </si>
  <si>
    <t>E</t>
  </si>
  <si>
    <t>A</t>
  </si>
  <si>
    <t>D</t>
  </si>
  <si>
    <t>destroy</t>
  </si>
  <si>
    <t>create</t>
  </si>
  <si>
    <t>update</t>
  </si>
  <si>
    <t>edit</t>
  </si>
  <si>
    <t>/contacts/index</t>
  </si>
  <si>
    <t>/contacts/show</t>
  </si>
  <si>
    <t>/contacts/edit</t>
  </si>
  <si>
    <t>/contacts/update</t>
  </si>
  <si>
    <t>/contacts/create</t>
  </si>
  <si>
    <t>/contacts/store</t>
  </si>
  <si>
    <t>/contacts/destroy</t>
  </si>
  <si>
    <t>own</t>
  </si>
  <si>
    <t>any</t>
  </si>
  <si>
    <t>client, own</t>
  </si>
  <si>
    <t>staff, client, own</t>
  </si>
  <si>
    <t>Authentication and Authorisation Mapping Matrix</t>
  </si>
  <si>
    <t>Project:</t>
  </si>
  <si>
    <t>php artisan route:list</t>
  </si>
  <si>
    <t xml:space="preserve"> </t>
  </si>
  <si>
    <t>To list all routes in your application use:</t>
  </si>
  <si>
    <t>Check all routes are correct!</t>
  </si>
  <si>
    <t>User Management</t>
  </si>
  <si>
    <t>W</t>
  </si>
  <si>
    <t>delete</t>
  </si>
  <si>
    <t>/admin/users/index</t>
  </si>
  <si>
    <t>/admin/users/show</t>
  </si>
  <si>
    <t>/admin/users/edit</t>
  </si>
  <si>
    <t>/admin/users/update</t>
  </si>
  <si>
    <t>/admin/users/create</t>
  </si>
  <si>
    <t>/admin/users/store</t>
  </si>
  <si>
    <t>/admin/users/delete</t>
  </si>
  <si>
    <t>/admin/users/destroy</t>
  </si>
  <si>
    <t>any, not self</t>
  </si>
  <si>
    <t>Demo</t>
  </si>
  <si>
    <t>/demo/index</t>
  </si>
  <si>
    <t>Contacts 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</si>
</sst>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8"/>
      <color theme="0"/>
      <name val="Aptos Display"/>
      <family val="2"/>
      <scheme val="major"/>
    </font>
    <font>
      <sz val="14"/>
      <color theme="1"/>
      <name val="Aptos Narrow"/>
      <family val="2"/>
      <scheme val="minor"/>
    </font>
    <font>
      <sz val="11"/>
      <color theme="3" tint="9.9978637043366805E-2"/>
      <name val="Consolas"/>
      <family val="3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2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49" fontId="0" fillId="0" borderId="0" xfId="0" quotePrefix="1" applyNumberFormat="1"/>
    <xf numFmtId="49" fontId="0" fillId="0" borderId="0" xfId="0" applyNumberFormat="1"/>
    <xf numFmtId="0" fontId="0" fillId="9" borderId="0" xfId="0" applyFill="1"/>
    <xf numFmtId="0" fontId="3" fillId="2" borderId="0" xfId="0" applyFont="1" applyFill="1" applyAlignment="1">
      <alignment horizontal="center"/>
    </xf>
    <xf numFmtId="0" fontId="4" fillId="2" borderId="0" xfId="1" applyFont="1" applyFill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2" fillId="0" borderId="1" xfId="2" applyAlignment="1">
      <alignment horizontal="left"/>
    </xf>
  </cellXfs>
  <cellStyles count="3">
    <cellStyle name="Heading 1" xfId="2" builtinId="16"/>
    <cellStyle name="Normal" xfId="0" builtinId="0"/>
    <cellStyle name="Title" xfId="1" builtinId="15"/>
  </cellStyles>
  <dxfs count="26">
    <dxf>
      <font>
        <color rgb="FF9C0006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8"/>
      </font>
      <fill>
        <patternFill>
          <bgColor theme="8" tint="0.79998168889431442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</dxf>
    <dxf>
      <numFmt numFmtId="30" formatCode="@"/>
    </dxf>
    <dxf>
      <numFmt numFmtId="30" formatCode="@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</dxf>
    <dxf>
      <numFmt numFmtId="30" formatCode="@"/>
    </dxf>
    <dxf>
      <numFmt numFmtId="30" formatCode="@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919A7F6-4AF3-47F9-805E-A95CAE0BA95D}" name="Table134" displayName="Table134" ref="A4:K18" totalsRowShown="0">
  <autoFilter ref="A4:K18" xr:uid="{AB1F822E-0379-47B0-8126-FA8870F1E423}"/>
  <tableColumns count="11">
    <tableColumn id="1" xr3:uid="{849CE447-1C53-4C12-AC60-2F23276437BF}" name="Feature"/>
    <tableColumn id="11" xr3:uid="{181A7D9D-9FDD-4D87-8407-65B6E875B6F2}" name="CRUD/BREAD" dataDxfId="15"/>
    <tableColumn id="2" xr3:uid="{A5CB602D-D226-4DF3-B2B6-A0117A9CBB57}" name="Action" dataDxfId="14"/>
    <tableColumn id="9" xr3:uid="{D75BF80A-0B02-4196-B453-F1B4135E50A5}" name="Route" dataDxfId="13"/>
    <tableColumn id="10" xr3:uid="{2AECCA7A-ADB3-4A35-8E4F-052B0482DE6A}" name="Route Name" dataDxfId="12">
      <calculatedColumnFormula>IF(Table134[[#This Row],[Route]]&gt;"",IF(Table134[[#This Row],[Route]]="/","home",SUBSTITUTE(RIGHT(Table134[[#This Row],[Route]],LEN(Table134[[#This Row],[Route]])-1),"/",".")),"")</calculatedColumnFormula>
    </tableColumn>
    <tableColumn id="3" xr3:uid="{705F4D73-90C9-4292-9FE4-17284F3DA921}" name="Authenticated" dataDxfId="11"/>
    <tableColumn id="4" xr3:uid="{37A268F2-8C79-45B2-B6AC-0C3E558CEB3F}" name="Super Admin" dataDxfId="10"/>
    <tableColumn id="5" xr3:uid="{5D150266-426D-450B-95D0-781923FB9916}" name="Admin" dataDxfId="9"/>
    <tableColumn id="6" xr3:uid="{13903D8E-0213-4D38-973B-A3EA33FA647C}" name="Staff" dataDxfId="8"/>
    <tableColumn id="7" xr3:uid="{82779D6D-51A9-4210-A34F-7D786F77C6B4}" name="Client" dataDxfId="7"/>
    <tableColumn id="8" xr3:uid="{B0AA76F2-5180-4E1B-A54E-4C1A86328B11}" name="Guest" dataDxfId="6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1F822E-0379-47B0-8126-FA8870F1E423}" name="Table1" displayName="Table1" ref="A4:K34" totalsRowShown="0">
  <autoFilter ref="A4:K34" xr:uid="{AB1F822E-0379-47B0-8126-FA8870F1E423}"/>
  <tableColumns count="11">
    <tableColumn id="1" xr3:uid="{5A871EBC-BC52-4580-9075-AF67E3788FAE}" name="Feature"/>
    <tableColumn id="11" xr3:uid="{E2B7EE48-A732-48C7-93FC-57220A877F65}" name="CRUD/BREAD" dataDxfId="25"/>
    <tableColumn id="2" xr3:uid="{E966C258-7F95-4D81-8CEC-2665C813460E}" name="Action" dataDxfId="24"/>
    <tableColumn id="9" xr3:uid="{58146441-95A0-4774-8D44-82A8974A819E}" name="Route" dataDxfId="23"/>
    <tableColumn id="10" xr3:uid="{7CC08B70-CBBB-4654-BD25-B00E88674560}" name="Route Name" dataDxfId="22">
      <calculatedColumnFormula>IF(Table1[[#This Row],[Route]]&gt;"",IF(Table1[[#This Row],[Route]]="/","home",SUBSTITUTE(RIGHT(Table1[[#This Row],[Route]],LEN(Table1[[#This Row],[Route]])-1),"/",".")),"")</calculatedColumnFormula>
    </tableColumn>
    <tableColumn id="3" xr3:uid="{BED3D474-7630-4B1A-B990-5F7FCEC4DC7D}" name="Authenticated" dataDxfId="21"/>
    <tableColumn id="4" xr3:uid="{26479AA2-9056-4550-A861-316D2BF76216}" name="Super Admin" dataDxfId="20"/>
    <tableColumn id="5" xr3:uid="{B71DFB1B-ACC0-4029-A93A-8E84A67A460A}" name="Admin" dataDxfId="19"/>
    <tableColumn id="6" xr3:uid="{661F6B1B-5F53-4B8A-A282-6BFC9138F082}" name="Staff" dataDxfId="18"/>
    <tableColumn id="7" xr3:uid="{8DA0CE39-5AF4-46BA-A534-20E51A08EF9B}" name="Client" dataDxfId="17"/>
    <tableColumn id="8" xr3:uid="{9A3A5934-4B72-477E-8408-1EFF0A5E6158}" name="Guest" dataDxfId="16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044A-95ED-412A-B929-F7403E23A72A}">
  <dimension ref="A1:K20"/>
  <sheetViews>
    <sheetView tabSelected="1" zoomScale="115" zoomScaleNormal="115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B2" sqref="B2:F2"/>
    </sheetView>
  </sheetViews>
  <sheetFormatPr defaultRowHeight="15" x14ac:dyDescent="0.25"/>
  <cols>
    <col min="1" max="1" width="29.28515625" customWidth="1"/>
    <col min="2" max="2" width="14.5703125" customWidth="1"/>
    <col min="3" max="3" width="18.85546875" customWidth="1"/>
    <col min="4" max="4" width="23.7109375" customWidth="1"/>
    <col min="5" max="5" width="22.85546875" customWidth="1"/>
    <col min="6" max="6" width="17.85546875" customWidth="1"/>
    <col min="7" max="11" width="17.42578125" customWidth="1"/>
  </cols>
  <sheetData>
    <row r="1" spans="1:11" ht="35.25" customHeight="1" x14ac:dyDescent="0.25">
      <c r="A1" s="13" t="s">
        <v>54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ht="20.25" thickBot="1" x14ac:dyDescent="0.35">
      <c r="A2" s="3" t="s">
        <v>55</v>
      </c>
      <c r="B2" s="17"/>
      <c r="C2" s="17"/>
      <c r="D2" s="17"/>
      <c r="E2" s="17"/>
      <c r="F2" s="17"/>
      <c r="G2" s="3"/>
      <c r="H2" s="3"/>
      <c r="I2" s="3"/>
      <c r="J2" s="3"/>
      <c r="K2" s="3"/>
    </row>
    <row r="3" spans="1:11" ht="19.5" thickTop="1" x14ac:dyDescent="0.3">
      <c r="G3" s="12" t="s">
        <v>3</v>
      </c>
      <c r="H3" s="12"/>
      <c r="I3" s="12"/>
      <c r="J3" s="12"/>
      <c r="K3" s="12"/>
    </row>
    <row r="4" spans="1:11" x14ac:dyDescent="0.25">
      <c r="A4" t="s">
        <v>0</v>
      </c>
      <c r="B4" t="s">
        <v>33</v>
      </c>
      <c r="C4" t="s">
        <v>1</v>
      </c>
      <c r="D4" t="s">
        <v>10</v>
      </c>
      <c r="E4" t="s">
        <v>12</v>
      </c>
      <c r="F4" s="1" t="s">
        <v>2</v>
      </c>
      <c r="G4" s="1" t="s">
        <v>4</v>
      </c>
      <c r="H4" s="1" t="s">
        <v>5</v>
      </c>
      <c r="I4" s="1" t="s">
        <v>6</v>
      </c>
      <c r="J4" s="1" t="s">
        <v>7</v>
      </c>
      <c r="K4" s="1" t="s">
        <v>8</v>
      </c>
    </row>
    <row r="5" spans="1:11" x14ac:dyDescent="0.25">
      <c r="A5" s="8" t="s">
        <v>9</v>
      </c>
      <c r="B5" s="2"/>
      <c r="C5" s="10"/>
      <c r="D5" s="9" t="s">
        <v>11</v>
      </c>
      <c r="E5" t="str">
        <f>IF(Table134[[#This Row],[Route]]&gt;"",IF(Table134[[#This Row],[Route]]="/","home",SUBSTITUTE(RIGHT(Table134[[#This Row],[Route]],LEN(Table134[[#This Row],[Route]])-1),"/",".")),"")</f>
        <v>home</v>
      </c>
      <c r="F5" s="1" t="s">
        <v>22</v>
      </c>
      <c r="G5" s="1" t="s">
        <v>23</v>
      </c>
      <c r="H5" s="1" t="s">
        <v>23</v>
      </c>
      <c r="I5" s="1" t="s">
        <v>23</v>
      </c>
      <c r="J5" s="1" t="s">
        <v>23</v>
      </c>
      <c r="K5" s="1" t="s">
        <v>23</v>
      </c>
    </row>
    <row r="6" spans="1:11" x14ac:dyDescent="0.25">
      <c r="B6" s="2"/>
      <c r="C6" s="10"/>
      <c r="D6" s="9"/>
      <c r="E6" t="str">
        <f>IF(Table134[[#This Row],[Route]]&gt;"",IF(Table134[[#This Row],[Route]]="/","home",SUBSTITUTE(RIGHT(Table134[[#This Row],[Route]],LEN(Table134[[#This Row],[Route]])-1),"/",".")),"")</f>
        <v/>
      </c>
      <c r="F6" s="1"/>
      <c r="G6" s="1"/>
      <c r="H6" s="1"/>
      <c r="I6" s="1"/>
      <c r="J6" s="1"/>
      <c r="K6" s="1"/>
    </row>
    <row r="7" spans="1:11" x14ac:dyDescent="0.25">
      <c r="A7" s="7" t="s">
        <v>13</v>
      </c>
      <c r="B7" s="2"/>
      <c r="C7" s="10"/>
      <c r="D7" s="9" t="s">
        <v>14</v>
      </c>
      <c r="E7" t="str">
        <f>IF(Table134[[#This Row],[Route]]&gt;"",IF(Table134[[#This Row],[Route]]="/","home",SUBSTITUTE(RIGHT(Table134[[#This Row],[Route]],LEN(Table134[[#This Row],[Route]])-1),"/",".")),"")</f>
        <v>about</v>
      </c>
      <c r="F7" s="1" t="s">
        <v>22</v>
      </c>
      <c r="G7" s="1" t="s">
        <v>23</v>
      </c>
      <c r="H7" s="1" t="s">
        <v>23</v>
      </c>
      <c r="I7" s="1" t="s">
        <v>23</v>
      </c>
      <c r="J7" s="1" t="s">
        <v>23</v>
      </c>
      <c r="K7" s="1" t="s">
        <v>23</v>
      </c>
    </row>
    <row r="8" spans="1:11" x14ac:dyDescent="0.25">
      <c r="B8" s="2"/>
      <c r="C8" s="10"/>
      <c r="D8" s="9"/>
      <c r="E8" t="str">
        <f>IF(Table134[[#This Row],[Route]]&gt;"",IF(Table134[[#This Row],[Route]]="/","home",SUBSTITUTE(RIGHT(Table134[[#This Row],[Route]],LEN(Table134[[#This Row],[Route]])-1),"/",".")),"")</f>
        <v/>
      </c>
      <c r="F8" s="1"/>
      <c r="G8" s="1"/>
      <c r="H8" s="1"/>
      <c r="I8" s="1"/>
      <c r="J8" s="1"/>
      <c r="K8" s="1"/>
    </row>
    <row r="9" spans="1:11" x14ac:dyDescent="0.25">
      <c r="A9" s="6" t="s">
        <v>15</v>
      </c>
      <c r="B9" s="2"/>
      <c r="C9" s="10" t="s">
        <v>29</v>
      </c>
      <c r="D9" s="9" t="s">
        <v>16</v>
      </c>
      <c r="E9" t="str">
        <f>IF(Table134[[#This Row],[Route]]&gt;"",IF(Table134[[#This Row],[Route]]="/","home",SUBSTITUTE(RIGHT(Table134[[#This Row],[Route]],LEN(Table134[[#This Row],[Route]])-1),"/",".")),"")</f>
        <v>contact-us</v>
      </c>
      <c r="F9" s="1" t="s">
        <v>22</v>
      </c>
      <c r="G9" s="1" t="s">
        <v>23</v>
      </c>
      <c r="H9" s="1" t="s">
        <v>23</v>
      </c>
      <c r="I9" s="1" t="s">
        <v>23</v>
      </c>
      <c r="J9" s="1" t="s">
        <v>23</v>
      </c>
      <c r="K9" s="1" t="s">
        <v>23</v>
      </c>
    </row>
    <row r="10" spans="1:11" x14ac:dyDescent="0.25">
      <c r="A10" s="6" t="s">
        <v>15</v>
      </c>
      <c r="B10" s="2"/>
      <c r="C10" s="10" t="s">
        <v>24</v>
      </c>
      <c r="D10" s="9" t="s">
        <v>16</v>
      </c>
      <c r="E10" t="str">
        <f>IF(Table134[[#This Row],[Route]]&gt;"",IF(Table134[[#This Row],[Route]]="/","home",SUBSTITUTE(RIGHT(Table134[[#This Row],[Route]],LEN(Table134[[#This Row],[Route]])-1),"/",".")),"")</f>
        <v>contact-us</v>
      </c>
      <c r="F10" s="1" t="s">
        <v>22</v>
      </c>
      <c r="G10" s="1" t="s">
        <v>23</v>
      </c>
      <c r="H10" s="1" t="s">
        <v>23</v>
      </c>
      <c r="I10" s="1" t="s">
        <v>23</v>
      </c>
      <c r="J10" s="1" t="s">
        <v>23</v>
      </c>
      <c r="K10" s="1" t="s">
        <v>23</v>
      </c>
    </row>
    <row r="11" spans="1:11" x14ac:dyDescent="0.25">
      <c r="B11" s="2"/>
      <c r="C11" s="10"/>
      <c r="D11" s="9"/>
      <c r="E11" t="str">
        <f>IF(Table134[[#This Row],[Route]]&gt;"",IF(Table134[[#This Row],[Route]]="/","home",SUBSTITUTE(RIGHT(Table134[[#This Row],[Route]],LEN(Table134[[#This Row],[Route]])-1),"/",".")),"")</f>
        <v/>
      </c>
      <c r="F11" s="1"/>
      <c r="G11" s="1"/>
      <c r="H11" s="1"/>
      <c r="I11" s="1"/>
      <c r="J11" s="1"/>
      <c r="K11" s="1"/>
    </row>
    <row r="12" spans="1:11" x14ac:dyDescent="0.25">
      <c r="A12" s="5" t="s">
        <v>17</v>
      </c>
      <c r="B12" s="2"/>
      <c r="C12" s="10" t="s">
        <v>25</v>
      </c>
      <c r="D12" s="9" t="s">
        <v>18</v>
      </c>
      <c r="E12" t="str">
        <f>IF(Table134[[#This Row],[Route]]&gt;"",IF(Table134[[#This Row],[Route]]="/","home",SUBSTITUTE(RIGHT(Table134[[#This Row],[Route]],LEN(Table134[[#This Row],[Route]])-1),"/",".")),"")</f>
        <v>register</v>
      </c>
      <c r="F12" s="1" t="s">
        <v>22</v>
      </c>
      <c r="G12" s="1"/>
      <c r="H12" s="1"/>
      <c r="I12" s="1"/>
      <c r="J12" s="1"/>
      <c r="K12" s="1" t="s">
        <v>23</v>
      </c>
    </row>
    <row r="13" spans="1:11" x14ac:dyDescent="0.25">
      <c r="A13" s="5"/>
      <c r="B13" s="2"/>
      <c r="C13" s="10" t="s">
        <v>26</v>
      </c>
      <c r="D13" s="9" t="s">
        <v>20</v>
      </c>
      <c r="E13" t="str">
        <f>IF(Table134[[#This Row],[Route]]&gt;"",IF(Table134[[#This Row],[Route]]="/","home",SUBSTITUTE(RIGHT(Table134[[#This Row],[Route]],LEN(Table134[[#This Row],[Route]])-1),"/",".")),"")</f>
        <v>login</v>
      </c>
      <c r="F13" s="1" t="s">
        <v>22</v>
      </c>
      <c r="G13" s="1" t="s">
        <v>23</v>
      </c>
      <c r="H13" s="1" t="s">
        <v>23</v>
      </c>
      <c r="I13" s="1" t="s">
        <v>23</v>
      </c>
      <c r="J13" s="1" t="s">
        <v>23</v>
      </c>
      <c r="K13" s="1"/>
    </row>
    <row r="14" spans="1:11" x14ac:dyDescent="0.25">
      <c r="A14" s="5"/>
      <c r="B14" s="2"/>
      <c r="C14" s="10" t="s">
        <v>27</v>
      </c>
      <c r="D14" s="9" t="s">
        <v>19</v>
      </c>
      <c r="E14" t="str">
        <f>IF(Table134[[#This Row],[Route]]&gt;"",IF(Table134[[#This Row],[Route]]="/","home",SUBSTITUTE(RIGHT(Table134[[#This Row],[Route]],LEN(Table134[[#This Row],[Route]])-1),"/",".")),"")</f>
        <v>logout</v>
      </c>
      <c r="F14" s="1" t="s">
        <v>23</v>
      </c>
      <c r="G14" s="1" t="s">
        <v>23</v>
      </c>
      <c r="H14" s="1" t="s">
        <v>23</v>
      </c>
      <c r="I14" s="1" t="s">
        <v>23</v>
      </c>
      <c r="J14" s="1" t="s">
        <v>23</v>
      </c>
      <c r="K14" s="1"/>
    </row>
    <row r="15" spans="1:11" x14ac:dyDescent="0.25">
      <c r="A15" s="5"/>
      <c r="B15" s="2"/>
      <c r="C15" s="10" t="s">
        <v>28</v>
      </c>
      <c r="D15" s="9" t="s">
        <v>21</v>
      </c>
      <c r="E15" t="str">
        <f>IF(Table134[[#This Row],[Route]]&gt;"",IF(Table134[[#This Row],[Route]]="/","home",SUBSTITUTE(RIGHT(Table134[[#This Row],[Route]],LEN(Table134[[#This Row],[Route]])-1),"/",".")),"")</f>
        <v>reset-password</v>
      </c>
      <c r="F15" s="1" t="s">
        <v>22</v>
      </c>
      <c r="G15" s="1"/>
      <c r="H15" s="1" t="s">
        <v>23</v>
      </c>
      <c r="I15" s="1" t="s">
        <v>23</v>
      </c>
      <c r="J15" s="1" t="s">
        <v>23</v>
      </c>
      <c r="K15" s="1"/>
    </row>
    <row r="16" spans="1:11" x14ac:dyDescent="0.25">
      <c r="B16" s="2"/>
      <c r="C16" s="10"/>
      <c r="D16" s="9"/>
      <c r="E16" t="str">
        <f>IF(Table134[[#This Row],[Route]]&gt;"",IF(Table134[[#This Row],[Route]]="/","home",SUBSTITUTE(RIGHT(Table134[[#This Row],[Route]],LEN(Table134[[#This Row],[Route]])-1),"/",".")),"")</f>
        <v/>
      </c>
      <c r="F16" s="1"/>
      <c r="G16" s="1"/>
      <c r="H16" s="1"/>
      <c r="I16" s="1"/>
      <c r="J16" s="1"/>
      <c r="K16" s="1"/>
    </row>
    <row r="17" spans="1:11" x14ac:dyDescent="0.25">
      <c r="B17" s="2"/>
      <c r="C17" s="10"/>
      <c r="D17" s="9"/>
      <c r="E17" t="str">
        <f>IF(Table134[[#This Row],[Route]]&gt;"",IF(Table134[[#This Row],[Route]]="/","home",SUBSTITUTE(RIGHT(Table134[[#This Row],[Route]],LEN(Table134[[#This Row],[Route]])-1),"/",".")),"")</f>
        <v/>
      </c>
      <c r="F17" s="1"/>
      <c r="G17" s="1"/>
      <c r="H17" s="1"/>
      <c r="I17" s="1"/>
      <c r="J17" s="1"/>
      <c r="K17" s="1"/>
    </row>
    <row r="18" spans="1:11" x14ac:dyDescent="0.25">
      <c r="B18" s="2"/>
      <c r="C18" s="10"/>
      <c r="D18" s="10"/>
      <c r="E18" t="str">
        <f>IF(Table134[[#This Row],[Route]]&gt;"",IF(Table134[[#This Row],[Route]]="/","home",SUBSTITUTE(RIGHT(Table134[[#This Row],[Route]],LEN(Table134[[#This Row],[Route]])-1),"/",".")),"")</f>
        <v/>
      </c>
      <c r="F18" s="1"/>
      <c r="G18" s="1"/>
      <c r="H18" s="1"/>
      <c r="I18" s="1"/>
      <c r="J18" s="1"/>
      <c r="K18" s="1"/>
    </row>
    <row r="19" spans="1:11" ht="18.75" x14ac:dyDescent="0.25">
      <c r="A19" s="14" t="s">
        <v>59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</row>
    <row r="20" spans="1:11" ht="18.75" x14ac:dyDescent="0.25">
      <c r="A20" s="16" t="s">
        <v>58</v>
      </c>
      <c r="B20" s="16"/>
      <c r="C20" s="16"/>
      <c r="D20" s="15" t="s">
        <v>56</v>
      </c>
      <c r="E20" s="15"/>
      <c r="F20" s="15"/>
      <c r="G20" s="15"/>
      <c r="H20" s="15"/>
      <c r="I20" s="15"/>
      <c r="J20" s="15"/>
      <c r="K20" s="15"/>
    </row>
  </sheetData>
  <mergeCells count="6">
    <mergeCell ref="A1:K1"/>
    <mergeCell ref="B2:F2"/>
    <mergeCell ref="G3:K3"/>
    <mergeCell ref="A19:K19"/>
    <mergeCell ref="A20:C20"/>
    <mergeCell ref="D20:K20"/>
  </mergeCells>
  <conditionalFormatting sqref="G5:K17">
    <cfRule type="expression" dxfId="5" priority="1" stopIfTrue="1">
      <formula>IF(AND($F5="Y",G5="any"),1,0)</formula>
    </cfRule>
    <cfRule type="expression" dxfId="4" priority="2" stopIfTrue="1">
      <formula>IF(AND($F5="N",G5="Y"),1,0)</formula>
    </cfRule>
    <cfRule type="expression" dxfId="3" priority="3">
      <formula>IF(AND($F5&gt;"",G5=""),1,0)</formula>
    </cfRule>
  </conditionalFormatting>
  <pageMargins left="0.7" right="0.7" top="0.75" bottom="0.75" header="0.3" footer="0.3"/>
  <pageSetup orientation="portrait" r:id="rId1"/>
  <headerFooter>
    <oddHeader>&amp;C&amp;"Aptos"&amp;10&amp;KFF0000 OFFICIAL&amp;1#_x000D_</oddHead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9B50E-454D-4BBB-9A1C-D934D34A41C6}">
  <dimension ref="A1:K36"/>
  <sheetViews>
    <sheetView zoomScale="115" zoomScaleNormal="115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B2" sqref="B2:F2"/>
    </sheetView>
  </sheetViews>
  <sheetFormatPr defaultRowHeight="15" x14ac:dyDescent="0.25"/>
  <cols>
    <col min="1" max="1" width="29.28515625" customWidth="1"/>
    <col min="2" max="2" width="14.5703125" customWidth="1"/>
    <col min="3" max="3" width="18.85546875" customWidth="1"/>
    <col min="4" max="4" width="23.7109375" customWidth="1"/>
    <col min="5" max="5" width="22.85546875" customWidth="1"/>
    <col min="6" max="6" width="17.85546875" customWidth="1"/>
    <col min="7" max="11" width="17.42578125" customWidth="1"/>
  </cols>
  <sheetData>
    <row r="1" spans="1:11" ht="35.25" customHeight="1" x14ac:dyDescent="0.25">
      <c r="A1" s="13" t="s">
        <v>54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ht="20.25" thickBot="1" x14ac:dyDescent="0.35">
      <c r="A2" s="3" t="s">
        <v>55</v>
      </c>
      <c r="B2" s="17" t="s">
        <v>74</v>
      </c>
      <c r="C2" s="17"/>
      <c r="D2" s="17"/>
      <c r="E2" s="17"/>
      <c r="F2" s="17"/>
      <c r="G2" s="3"/>
      <c r="H2" s="3"/>
      <c r="I2" s="3"/>
      <c r="J2" s="3"/>
      <c r="K2" s="3"/>
    </row>
    <row r="3" spans="1:11" ht="19.5" thickTop="1" x14ac:dyDescent="0.3">
      <c r="G3" s="12" t="s">
        <v>3</v>
      </c>
      <c r="H3" s="12"/>
      <c r="I3" s="12"/>
      <c r="J3" s="12"/>
      <c r="K3" s="12"/>
    </row>
    <row r="4" spans="1:11" x14ac:dyDescent="0.25">
      <c r="A4" t="s">
        <v>0</v>
      </c>
      <c r="B4" t="s">
        <v>33</v>
      </c>
      <c r="C4" t="s">
        <v>1</v>
      </c>
      <c r="D4" t="s">
        <v>10</v>
      </c>
      <c r="E4" t="s">
        <v>12</v>
      </c>
      <c r="F4" s="1" t="s">
        <v>2</v>
      </c>
      <c r="G4" s="1" t="s">
        <v>4</v>
      </c>
      <c r="H4" s="1" t="s">
        <v>5</v>
      </c>
      <c r="I4" s="1" t="s">
        <v>6</v>
      </c>
      <c r="J4" s="1" t="s">
        <v>7</v>
      </c>
      <c r="K4" s="1" t="s">
        <v>8</v>
      </c>
    </row>
    <row r="5" spans="1:11" x14ac:dyDescent="0.25">
      <c r="A5" s="8" t="s">
        <v>9</v>
      </c>
      <c r="B5" s="2"/>
      <c r="C5" s="10"/>
      <c r="D5" s="9" t="s">
        <v>11</v>
      </c>
      <c r="E5" t="str">
        <f>IF(Table1[[#This Row],[Route]]&gt;"",IF(Table1[[#This Row],[Route]]="/","home",SUBSTITUTE(RIGHT(Table1[[#This Row],[Route]],LEN(Table1[[#This Row],[Route]])-1),"/",".")),"")</f>
        <v>home</v>
      </c>
      <c r="F5" s="1" t="s">
        <v>22</v>
      </c>
      <c r="G5" s="1" t="s">
        <v>23</v>
      </c>
      <c r="H5" s="1" t="s">
        <v>23</v>
      </c>
      <c r="I5" s="1" t="s">
        <v>23</v>
      </c>
      <c r="J5" s="1" t="s">
        <v>23</v>
      </c>
      <c r="K5" s="1" t="s">
        <v>23</v>
      </c>
    </row>
    <row r="6" spans="1:11" x14ac:dyDescent="0.25">
      <c r="B6" s="2"/>
      <c r="C6" s="10"/>
      <c r="D6" s="9"/>
      <c r="E6" t="str">
        <f>IF(Table1[[#This Row],[Route]]&gt;"",IF(Table1[[#This Row],[Route]]="/","home",SUBSTITUTE(RIGHT(Table1[[#This Row],[Route]],LEN(Table1[[#This Row],[Route]])-1),"/",".")),"")</f>
        <v/>
      </c>
      <c r="F6" s="1"/>
      <c r="G6" s="1"/>
      <c r="H6" s="1"/>
      <c r="I6" s="1"/>
      <c r="J6" s="1"/>
      <c r="K6" s="1"/>
    </row>
    <row r="7" spans="1:11" x14ac:dyDescent="0.25">
      <c r="A7" s="7" t="s">
        <v>13</v>
      </c>
      <c r="B7" s="2"/>
      <c r="C7" s="10"/>
      <c r="D7" s="9" t="s">
        <v>14</v>
      </c>
      <c r="E7" t="str">
        <f>IF(Table1[[#This Row],[Route]]&gt;"",IF(Table1[[#This Row],[Route]]="/","home",SUBSTITUTE(RIGHT(Table1[[#This Row],[Route]],LEN(Table1[[#This Row],[Route]])-1),"/",".")),"")</f>
        <v>about</v>
      </c>
      <c r="F7" s="1" t="s">
        <v>22</v>
      </c>
      <c r="G7" s="1" t="s">
        <v>23</v>
      </c>
      <c r="H7" s="1" t="s">
        <v>23</v>
      </c>
      <c r="I7" s="1" t="s">
        <v>23</v>
      </c>
      <c r="J7" s="1" t="s">
        <v>23</v>
      </c>
      <c r="K7" s="1" t="s">
        <v>23</v>
      </c>
    </row>
    <row r="8" spans="1:11" x14ac:dyDescent="0.25">
      <c r="B8" s="2"/>
      <c r="C8" s="10"/>
      <c r="D8" s="9"/>
      <c r="E8" t="str">
        <f>IF(Table1[[#This Row],[Route]]&gt;"",IF(Table1[[#This Row],[Route]]="/","home",SUBSTITUTE(RIGHT(Table1[[#This Row],[Route]],LEN(Table1[[#This Row],[Route]])-1),"/",".")),"")</f>
        <v/>
      </c>
      <c r="F8" s="1"/>
      <c r="G8" s="1"/>
      <c r="H8" s="1"/>
      <c r="I8" s="1"/>
      <c r="J8" s="1"/>
      <c r="K8" s="1"/>
    </row>
    <row r="9" spans="1:11" x14ac:dyDescent="0.25">
      <c r="A9" s="6" t="s">
        <v>15</v>
      </c>
      <c r="B9" s="2"/>
      <c r="C9" s="10" t="s">
        <v>29</v>
      </c>
      <c r="D9" s="9" t="s">
        <v>16</v>
      </c>
      <c r="E9" t="str">
        <f>IF(Table1[[#This Row],[Route]]&gt;"",IF(Table1[[#This Row],[Route]]="/","home",SUBSTITUTE(RIGHT(Table1[[#This Row],[Route]],LEN(Table1[[#This Row],[Route]])-1),"/",".")),"")</f>
        <v>contact-us</v>
      </c>
      <c r="F9" s="1" t="s">
        <v>22</v>
      </c>
      <c r="G9" s="1" t="s">
        <v>23</v>
      </c>
      <c r="H9" s="1" t="s">
        <v>23</v>
      </c>
      <c r="I9" s="1" t="s">
        <v>23</v>
      </c>
      <c r="J9" s="1" t="s">
        <v>23</v>
      </c>
      <c r="K9" s="1" t="s">
        <v>23</v>
      </c>
    </row>
    <row r="10" spans="1:11" x14ac:dyDescent="0.25">
      <c r="A10" s="6" t="s">
        <v>15</v>
      </c>
      <c r="B10" s="2"/>
      <c r="C10" s="10" t="s">
        <v>24</v>
      </c>
      <c r="D10" s="9" t="s">
        <v>16</v>
      </c>
      <c r="E10" t="str">
        <f>IF(Table1[[#This Row],[Route]]&gt;"",IF(Table1[[#This Row],[Route]]="/","home",SUBSTITUTE(RIGHT(Table1[[#This Row],[Route]],LEN(Table1[[#This Row],[Route]])-1),"/",".")),"")</f>
        <v>contact-us</v>
      </c>
      <c r="F10" s="1" t="s">
        <v>22</v>
      </c>
      <c r="G10" s="1" t="s">
        <v>23</v>
      </c>
      <c r="H10" s="1" t="s">
        <v>23</v>
      </c>
      <c r="I10" s="1" t="s">
        <v>23</v>
      </c>
      <c r="J10" s="1" t="s">
        <v>23</v>
      </c>
      <c r="K10" s="1" t="s">
        <v>23</v>
      </c>
    </row>
    <row r="11" spans="1:11" x14ac:dyDescent="0.25">
      <c r="B11" s="2"/>
      <c r="C11" s="10"/>
      <c r="D11" s="9"/>
      <c r="E11" t="str">
        <f>IF(Table1[[#This Row],[Route]]&gt;"",IF(Table1[[#This Row],[Route]]="/","home",SUBSTITUTE(RIGHT(Table1[[#This Row],[Route]],LEN(Table1[[#This Row],[Route]])-1),"/",".")),"")</f>
        <v/>
      </c>
      <c r="F11" s="1"/>
      <c r="G11" s="1"/>
      <c r="H11" s="1"/>
      <c r="I11" s="1"/>
      <c r="J11" s="1"/>
      <c r="K11" s="1"/>
    </row>
    <row r="12" spans="1:11" x14ac:dyDescent="0.25">
      <c r="A12" s="5" t="s">
        <v>17</v>
      </c>
      <c r="B12" s="2"/>
      <c r="C12" s="10" t="s">
        <v>25</v>
      </c>
      <c r="D12" s="9" t="s">
        <v>18</v>
      </c>
      <c r="E12" t="str">
        <f>IF(Table1[[#This Row],[Route]]&gt;"",IF(Table1[[#This Row],[Route]]="/","home",SUBSTITUTE(RIGHT(Table1[[#This Row],[Route]],LEN(Table1[[#This Row],[Route]])-1),"/",".")),"")</f>
        <v>register</v>
      </c>
      <c r="F12" s="1" t="s">
        <v>22</v>
      </c>
      <c r="G12" s="1"/>
      <c r="H12" s="1"/>
      <c r="I12" s="1"/>
      <c r="J12" s="1"/>
      <c r="K12" s="1" t="s">
        <v>23</v>
      </c>
    </row>
    <row r="13" spans="1:11" x14ac:dyDescent="0.25">
      <c r="A13" s="5"/>
      <c r="B13" s="2"/>
      <c r="C13" s="10" t="s">
        <v>26</v>
      </c>
      <c r="D13" s="9" t="s">
        <v>20</v>
      </c>
      <c r="E13" t="str">
        <f>IF(Table1[[#This Row],[Route]]&gt;"",IF(Table1[[#This Row],[Route]]="/","home",SUBSTITUTE(RIGHT(Table1[[#This Row],[Route]],LEN(Table1[[#This Row],[Route]])-1),"/",".")),"")</f>
        <v>login</v>
      </c>
      <c r="F13" s="1" t="s">
        <v>22</v>
      </c>
      <c r="G13" s="1" t="s">
        <v>23</v>
      </c>
      <c r="H13" s="1" t="s">
        <v>23</v>
      </c>
      <c r="I13" s="1" t="s">
        <v>23</v>
      </c>
      <c r="J13" s="1" t="s">
        <v>23</v>
      </c>
      <c r="K13" s="1"/>
    </row>
    <row r="14" spans="1:11" x14ac:dyDescent="0.25">
      <c r="A14" s="5"/>
      <c r="B14" s="2"/>
      <c r="C14" s="10" t="s">
        <v>27</v>
      </c>
      <c r="D14" s="9" t="s">
        <v>19</v>
      </c>
      <c r="E14" t="str">
        <f>IF(Table1[[#This Row],[Route]]&gt;"",IF(Table1[[#This Row],[Route]]="/","home",SUBSTITUTE(RIGHT(Table1[[#This Row],[Route]],LEN(Table1[[#This Row],[Route]])-1),"/",".")),"")</f>
        <v>logout</v>
      </c>
      <c r="F14" s="1" t="s">
        <v>23</v>
      </c>
      <c r="G14" s="1" t="s">
        <v>23</v>
      </c>
      <c r="H14" s="1" t="s">
        <v>23</v>
      </c>
      <c r="I14" s="1" t="s">
        <v>23</v>
      </c>
      <c r="J14" s="1" t="s">
        <v>23</v>
      </c>
      <c r="K14" s="1"/>
    </row>
    <row r="15" spans="1:11" x14ac:dyDescent="0.25">
      <c r="A15" s="5"/>
      <c r="B15" s="2"/>
      <c r="C15" s="10" t="s">
        <v>28</v>
      </c>
      <c r="D15" s="9" t="s">
        <v>21</v>
      </c>
      <c r="E15" t="str">
        <f>IF(Table1[[#This Row],[Route]]&gt;"",IF(Table1[[#This Row],[Route]]="/","home",SUBSTITUTE(RIGHT(Table1[[#This Row],[Route]],LEN(Table1[[#This Row],[Route]])-1),"/",".")),"")</f>
        <v>reset-password</v>
      </c>
      <c r="F15" s="1" t="s">
        <v>22</v>
      </c>
      <c r="G15" s="1"/>
      <c r="H15" s="1" t="s">
        <v>23</v>
      </c>
      <c r="I15" s="1" t="s">
        <v>23</v>
      </c>
      <c r="J15" s="1" t="s">
        <v>23</v>
      </c>
      <c r="K15" s="1"/>
    </row>
    <row r="16" spans="1:11" x14ac:dyDescent="0.25">
      <c r="B16" s="2"/>
      <c r="C16" s="10"/>
      <c r="D16" s="9"/>
      <c r="E16" t="str">
        <f>IF(Table1[[#This Row],[Route]]&gt;"",IF(Table1[[#This Row],[Route]]="/","home",SUBSTITUTE(RIGHT(Table1[[#This Row],[Route]],LEN(Table1[[#This Row],[Route]])-1),"/",".")),"")</f>
        <v/>
      </c>
      <c r="F16" s="1"/>
      <c r="G16" s="1"/>
      <c r="H16" s="1"/>
      <c r="I16" s="1"/>
      <c r="J16" s="1"/>
      <c r="K16" s="1"/>
    </row>
    <row r="17" spans="1:11" x14ac:dyDescent="0.25">
      <c r="A17" s="4" t="s">
        <v>30</v>
      </c>
      <c r="B17" s="2" t="s">
        <v>34</v>
      </c>
      <c r="C17" s="10" t="s">
        <v>32</v>
      </c>
      <c r="D17" s="9" t="s">
        <v>43</v>
      </c>
      <c r="E17" t="str">
        <f>IF(Table1[[#This Row],[Route]]&gt;"",IF(Table1[[#This Row],[Route]]="/","home",SUBSTITUTE(RIGHT(Table1[[#This Row],[Route]],LEN(Table1[[#This Row],[Route]])-1),"/",".")),"")</f>
        <v>contacts.index</v>
      </c>
      <c r="F17" s="1" t="s">
        <v>23</v>
      </c>
      <c r="G17" s="1" t="s">
        <v>51</v>
      </c>
      <c r="H17" s="1" t="s">
        <v>53</v>
      </c>
      <c r="I17" s="1" t="s">
        <v>52</v>
      </c>
      <c r="J17" s="1" t="s">
        <v>50</v>
      </c>
      <c r="K17" s="1"/>
    </row>
    <row r="18" spans="1:11" x14ac:dyDescent="0.25">
      <c r="A18" s="4"/>
      <c r="B18" s="2" t="s">
        <v>35</v>
      </c>
      <c r="C18" s="10" t="s">
        <v>31</v>
      </c>
      <c r="D18" s="9" t="s">
        <v>44</v>
      </c>
      <c r="E18" t="str">
        <f>IF(Table1[[#This Row],[Route]]&gt;"",IF(Table1[[#This Row],[Route]]="/","home",SUBSTITUTE(RIGHT(Table1[[#This Row],[Route]],LEN(Table1[[#This Row],[Route]])-1),"/",".")),"")</f>
        <v>contacts.show</v>
      </c>
      <c r="F18" s="1" t="s">
        <v>23</v>
      </c>
      <c r="G18" s="1" t="s">
        <v>51</v>
      </c>
      <c r="H18" s="1" t="s">
        <v>53</v>
      </c>
      <c r="I18" s="1" t="s">
        <v>52</v>
      </c>
      <c r="J18" s="1" t="s">
        <v>50</v>
      </c>
      <c r="K18" s="1"/>
    </row>
    <row r="19" spans="1:11" x14ac:dyDescent="0.25">
      <c r="A19" s="4"/>
      <c r="B19" s="2" t="s">
        <v>36</v>
      </c>
      <c r="C19" s="10" t="s">
        <v>42</v>
      </c>
      <c r="D19" s="9" t="s">
        <v>45</v>
      </c>
      <c r="E19" t="str">
        <f>IF(Table1[[#This Row],[Route]]&gt;"",IF(Table1[[#This Row],[Route]]="/","home",SUBSTITUTE(RIGHT(Table1[[#This Row],[Route]],LEN(Table1[[#This Row],[Route]])-1),"/",".")),"")</f>
        <v>contacts.edit</v>
      </c>
      <c r="F19" s="1" t="s">
        <v>23</v>
      </c>
      <c r="G19" s="1" t="s">
        <v>51</v>
      </c>
      <c r="H19" s="1" t="s">
        <v>53</v>
      </c>
      <c r="I19" s="1" t="s">
        <v>52</v>
      </c>
      <c r="J19" s="1" t="s">
        <v>50</v>
      </c>
      <c r="K19" s="1"/>
    </row>
    <row r="20" spans="1:11" x14ac:dyDescent="0.25">
      <c r="A20" s="4"/>
      <c r="B20" s="2" t="s">
        <v>36</v>
      </c>
      <c r="C20" s="10" t="s">
        <v>41</v>
      </c>
      <c r="D20" s="9" t="s">
        <v>46</v>
      </c>
      <c r="E20" t="str">
        <f>IF(Table1[[#This Row],[Route]]&gt;"",IF(Table1[[#This Row],[Route]]="/","home",SUBSTITUTE(RIGHT(Table1[[#This Row],[Route]],LEN(Table1[[#This Row],[Route]])-1),"/",".")),"")</f>
        <v>contacts.update</v>
      </c>
      <c r="F20" s="1" t="s">
        <v>23</v>
      </c>
      <c r="G20" s="1" t="s">
        <v>51</v>
      </c>
      <c r="H20" s="1" t="s">
        <v>53</v>
      </c>
      <c r="I20" s="1" t="s">
        <v>52</v>
      </c>
      <c r="J20" s="1" t="s">
        <v>50</v>
      </c>
      <c r="K20" s="1"/>
    </row>
    <row r="21" spans="1:11" x14ac:dyDescent="0.25">
      <c r="A21" s="4"/>
      <c r="B21" s="2" t="s">
        <v>37</v>
      </c>
      <c r="C21" s="10" t="s">
        <v>40</v>
      </c>
      <c r="D21" s="9" t="s">
        <v>47</v>
      </c>
      <c r="E21" t="str">
        <f>IF(Table1[[#This Row],[Route]]&gt;"",IF(Table1[[#This Row],[Route]]="/","home",SUBSTITUTE(RIGHT(Table1[[#This Row],[Route]],LEN(Table1[[#This Row],[Route]])-1),"/",".")),"")</f>
        <v>contacts.create</v>
      </c>
      <c r="F21" s="1" t="s">
        <v>23</v>
      </c>
      <c r="G21" s="1" t="s">
        <v>51</v>
      </c>
      <c r="H21" s="1" t="s">
        <v>53</v>
      </c>
      <c r="I21" s="1" t="s">
        <v>52</v>
      </c>
      <c r="J21" s="1" t="s">
        <v>50</v>
      </c>
      <c r="K21" s="1"/>
    </row>
    <row r="22" spans="1:11" x14ac:dyDescent="0.25">
      <c r="A22" s="4"/>
      <c r="B22" s="2" t="s">
        <v>37</v>
      </c>
      <c r="C22" s="10" t="s">
        <v>24</v>
      </c>
      <c r="D22" s="9" t="s">
        <v>48</v>
      </c>
      <c r="E22" t="str">
        <f>IF(Table1[[#This Row],[Route]]&gt;"",IF(Table1[[#This Row],[Route]]="/","home",SUBSTITUTE(RIGHT(Table1[[#This Row],[Route]],LEN(Table1[[#This Row],[Route]])-1),"/",".")),"")</f>
        <v>contacts.store</v>
      </c>
      <c r="F22" s="1" t="s">
        <v>23</v>
      </c>
      <c r="G22" s="1" t="s">
        <v>51</v>
      </c>
      <c r="H22" s="1" t="s">
        <v>53</v>
      </c>
      <c r="I22" s="1" t="s">
        <v>52</v>
      </c>
      <c r="J22" s="1" t="s">
        <v>50</v>
      </c>
      <c r="K22" s="1"/>
    </row>
    <row r="23" spans="1:11" x14ac:dyDescent="0.25">
      <c r="A23" s="4"/>
      <c r="B23" s="2" t="s">
        <v>38</v>
      </c>
      <c r="C23" s="10" t="s">
        <v>39</v>
      </c>
      <c r="D23" s="9" t="s">
        <v>49</v>
      </c>
      <c r="E23" t="str">
        <f>IF(Table1[[#This Row],[Route]]&gt;"",IF(Table1[[#This Row],[Route]]="/","home",SUBSTITUTE(RIGHT(Table1[[#This Row],[Route]],LEN(Table1[[#This Row],[Route]])-1),"/",".")),"")</f>
        <v>contacts.destroy</v>
      </c>
      <c r="F23" s="1" t="s">
        <v>23</v>
      </c>
      <c r="G23" s="1" t="s">
        <v>51</v>
      </c>
      <c r="H23" s="1" t="s">
        <v>53</v>
      </c>
      <c r="I23" s="1" t="s">
        <v>52</v>
      </c>
      <c r="J23" s="1" t="s">
        <v>50</v>
      </c>
      <c r="K23" s="1"/>
    </row>
    <row r="24" spans="1:11" x14ac:dyDescent="0.25">
      <c r="B24" s="2"/>
      <c r="C24" s="10"/>
      <c r="D24" s="9"/>
      <c r="E24" t="str">
        <f>IF(Table1[[#This Row],[Route]]&gt;"",IF(Table1[[#This Row],[Route]]="/","home",SUBSTITUTE(RIGHT(Table1[[#This Row],[Route]],LEN(Table1[[#This Row],[Route]])-1),"/",".")),"")</f>
        <v/>
      </c>
      <c r="F24" s="1"/>
      <c r="G24" s="1"/>
      <c r="H24" s="1"/>
      <c r="I24" s="1"/>
      <c r="J24" s="1"/>
      <c r="K24" s="1"/>
    </row>
    <row r="25" spans="1:11" x14ac:dyDescent="0.25">
      <c r="A25" s="11" t="s">
        <v>60</v>
      </c>
      <c r="B25" s="2" t="s">
        <v>34</v>
      </c>
      <c r="C25" s="10" t="s">
        <v>32</v>
      </c>
      <c r="D25" s="9" t="s">
        <v>63</v>
      </c>
      <c r="E25" t="str">
        <f>IF(Table1[[#This Row],[Route]]&gt;"",IF(Table1[[#This Row],[Route]]="/","home",SUBSTITUTE(RIGHT(Table1[[#This Row],[Route]],LEN(Table1[[#This Row],[Route]])-1),"/",".")),"")</f>
        <v>admin.users.index</v>
      </c>
      <c r="F25" s="1" t="s">
        <v>23</v>
      </c>
      <c r="G25" s="1" t="s">
        <v>51</v>
      </c>
      <c r="H25" s="1" t="s">
        <v>53</v>
      </c>
      <c r="I25" s="1" t="s">
        <v>52</v>
      </c>
      <c r="J25" s="1"/>
      <c r="K25" s="1"/>
    </row>
    <row r="26" spans="1:11" x14ac:dyDescent="0.25">
      <c r="A26" s="11"/>
      <c r="B26" s="2" t="s">
        <v>35</v>
      </c>
      <c r="C26" s="10" t="s">
        <v>31</v>
      </c>
      <c r="D26" s="9" t="s">
        <v>64</v>
      </c>
      <c r="E26" t="str">
        <f>IF(Table1[[#This Row],[Route]]&gt;"",IF(Table1[[#This Row],[Route]]="/","home",SUBSTITUTE(RIGHT(Table1[[#This Row],[Route]],LEN(Table1[[#This Row],[Route]])-1),"/",".")),"")</f>
        <v>admin.users.show</v>
      </c>
      <c r="F26" s="1" t="s">
        <v>23</v>
      </c>
      <c r="G26" s="1" t="s">
        <v>51</v>
      </c>
      <c r="H26" s="1" t="s">
        <v>53</v>
      </c>
      <c r="I26" s="1" t="s">
        <v>52</v>
      </c>
      <c r="J26" s="1"/>
      <c r="K26" s="1"/>
    </row>
    <row r="27" spans="1:11" x14ac:dyDescent="0.25">
      <c r="A27" s="11"/>
      <c r="B27" s="2" t="s">
        <v>61</v>
      </c>
      <c r="C27" s="10" t="s">
        <v>42</v>
      </c>
      <c r="D27" s="9" t="s">
        <v>65</v>
      </c>
      <c r="E27" t="str">
        <f>IF(Table1[[#This Row],[Route]]&gt;"",IF(Table1[[#This Row],[Route]]="/","home",SUBSTITUTE(RIGHT(Table1[[#This Row],[Route]],LEN(Table1[[#This Row],[Route]])-1),"/",".")),"")</f>
        <v>admin.users.edit</v>
      </c>
      <c r="F27" s="1" t="s">
        <v>23</v>
      </c>
      <c r="G27" s="1" t="s">
        <v>51</v>
      </c>
      <c r="H27" s="1" t="s">
        <v>53</v>
      </c>
      <c r="I27" s="1" t="s">
        <v>52</v>
      </c>
      <c r="J27" s="1"/>
      <c r="K27" s="1"/>
    </row>
    <row r="28" spans="1:11" x14ac:dyDescent="0.25">
      <c r="A28" s="11"/>
      <c r="B28" s="2" t="s">
        <v>61</v>
      </c>
      <c r="C28" s="10" t="s">
        <v>41</v>
      </c>
      <c r="D28" s="9" t="s">
        <v>66</v>
      </c>
      <c r="E28" t="str">
        <f>IF(Table1[[#This Row],[Route]]&gt;"",IF(Table1[[#This Row],[Route]]="/","home",SUBSTITUTE(RIGHT(Table1[[#This Row],[Route]],LEN(Table1[[#This Row],[Route]])-1),"/",".")),"")</f>
        <v>admin.users.update</v>
      </c>
      <c r="F28" s="1" t="s">
        <v>23</v>
      </c>
      <c r="G28" s="1" t="s">
        <v>51</v>
      </c>
      <c r="H28" s="1" t="s">
        <v>53</v>
      </c>
      <c r="I28" s="1" t="s">
        <v>52</v>
      </c>
      <c r="J28" s="1"/>
      <c r="K28" s="1"/>
    </row>
    <row r="29" spans="1:11" x14ac:dyDescent="0.25">
      <c r="A29" s="11"/>
      <c r="B29" s="2" t="s">
        <v>37</v>
      </c>
      <c r="C29" s="10" t="s">
        <v>40</v>
      </c>
      <c r="D29" s="9" t="s">
        <v>67</v>
      </c>
      <c r="E29" t="str">
        <f>IF(Table1[[#This Row],[Route]]&gt;"",IF(Table1[[#This Row],[Route]]="/","home",SUBSTITUTE(RIGHT(Table1[[#This Row],[Route]],LEN(Table1[[#This Row],[Route]])-1),"/",".")),"")</f>
        <v>admin.users.create</v>
      </c>
      <c r="F29" s="1" t="s">
        <v>23</v>
      </c>
      <c r="G29" s="1" t="s">
        <v>51</v>
      </c>
      <c r="H29" s="1" t="s">
        <v>53</v>
      </c>
      <c r="I29" s="1" t="s">
        <v>52</v>
      </c>
      <c r="J29" s="1"/>
      <c r="K29" s="1"/>
    </row>
    <row r="30" spans="1:11" x14ac:dyDescent="0.25">
      <c r="A30" s="11"/>
      <c r="B30" s="2" t="s">
        <v>37</v>
      </c>
      <c r="C30" s="10" t="s">
        <v>24</v>
      </c>
      <c r="D30" s="9" t="s">
        <v>68</v>
      </c>
      <c r="E30" t="str">
        <f>IF(Table1[[#This Row],[Route]]&gt;"",IF(Table1[[#This Row],[Route]]="/","home",SUBSTITUTE(RIGHT(Table1[[#This Row],[Route]],LEN(Table1[[#This Row],[Route]])-1),"/",".")),"")</f>
        <v>admin.users.store</v>
      </c>
      <c r="F30" s="1" t="s">
        <v>23</v>
      </c>
      <c r="G30" s="1" t="s">
        <v>51</v>
      </c>
      <c r="H30" s="1" t="s">
        <v>53</v>
      </c>
      <c r="I30" s="1" t="s">
        <v>52</v>
      </c>
      <c r="J30" s="1"/>
      <c r="K30" s="1"/>
    </row>
    <row r="31" spans="1:11" x14ac:dyDescent="0.25">
      <c r="A31" s="11"/>
      <c r="B31" s="2" t="s">
        <v>38</v>
      </c>
      <c r="C31" s="10" t="s">
        <v>62</v>
      </c>
      <c r="D31" s="9" t="s">
        <v>69</v>
      </c>
      <c r="E31" t="str">
        <f>IF(Table1[[#This Row],[Route]]&gt;"",IF(Table1[[#This Row],[Route]]="/","home",SUBSTITUTE(RIGHT(Table1[[#This Row],[Route]],LEN(Table1[[#This Row],[Route]])-1),"/",".")),"")</f>
        <v>admin.users.delete</v>
      </c>
      <c r="F31" s="1" t="s">
        <v>23</v>
      </c>
      <c r="G31" s="1" t="s">
        <v>71</v>
      </c>
      <c r="H31" s="1" t="s">
        <v>53</v>
      </c>
      <c r="I31" s="1" t="s">
        <v>52</v>
      </c>
      <c r="J31" s="1"/>
      <c r="K31" s="1"/>
    </row>
    <row r="32" spans="1:11" x14ac:dyDescent="0.25">
      <c r="A32" s="11" t="s">
        <v>57</v>
      </c>
      <c r="B32" s="2" t="s">
        <v>38</v>
      </c>
      <c r="C32" s="10" t="s">
        <v>39</v>
      </c>
      <c r="D32" s="9" t="s">
        <v>70</v>
      </c>
      <c r="E32" t="str">
        <f>IF(Table1[[#This Row],[Route]]&gt;"",IF(Table1[[#This Row],[Route]]="/","home",SUBSTITUTE(RIGHT(Table1[[#This Row],[Route]],LEN(Table1[[#This Row],[Route]])-1),"/",".")),"")</f>
        <v>admin.users.destroy</v>
      </c>
      <c r="F32" s="1" t="s">
        <v>23</v>
      </c>
      <c r="G32" s="1" t="s">
        <v>71</v>
      </c>
      <c r="H32" s="1" t="s">
        <v>53</v>
      </c>
      <c r="I32" s="1" t="s">
        <v>52</v>
      </c>
      <c r="J32" s="1"/>
      <c r="K32" s="1"/>
    </row>
    <row r="33" spans="1:11" x14ac:dyDescent="0.25">
      <c r="B33" s="2"/>
      <c r="C33" s="10"/>
      <c r="D33" s="10"/>
      <c r="E33" t="str">
        <f>IF(Table1[[#This Row],[Route]]&gt;"",IF(Table1[[#This Row],[Route]]="/","home",SUBSTITUTE(RIGHT(Table1[[#This Row],[Route]],LEN(Table1[[#This Row],[Route]])-1),"/",".")),"")</f>
        <v/>
      </c>
      <c r="F33" s="1"/>
      <c r="G33" s="1"/>
      <c r="H33" s="1"/>
      <c r="I33" s="1"/>
      <c r="J33" s="1"/>
      <c r="K33" s="1"/>
    </row>
    <row r="34" spans="1:11" x14ac:dyDescent="0.25">
      <c r="A34" t="s">
        <v>72</v>
      </c>
      <c r="B34" s="2" t="s">
        <v>34</v>
      </c>
      <c r="C34" s="10" t="s">
        <v>32</v>
      </c>
      <c r="D34" s="9" t="s">
        <v>73</v>
      </c>
      <c r="E34" t="str">
        <f>IF(Table1[[#This Row],[Route]]&gt;"",IF(Table1[[#This Row],[Route]]="/","home",SUBSTITUTE(RIGHT(Table1[[#This Row],[Route]],LEN(Table1[[#This Row],[Route]])-1),"/",".")),"")</f>
        <v>demo.index</v>
      </c>
      <c r="F34" s="1"/>
      <c r="G34" s="1"/>
      <c r="H34" s="1"/>
      <c r="I34" s="1"/>
      <c r="J34" s="1"/>
      <c r="K34" s="1"/>
    </row>
    <row r="35" spans="1:11" ht="18.75" x14ac:dyDescent="0.25">
      <c r="A35" s="14" t="s">
        <v>59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</row>
    <row r="36" spans="1:11" ht="18.75" x14ac:dyDescent="0.25">
      <c r="A36" s="16" t="s">
        <v>58</v>
      </c>
      <c r="B36" s="16"/>
      <c r="C36" s="16"/>
      <c r="D36" s="15" t="s">
        <v>56</v>
      </c>
      <c r="E36" s="15"/>
      <c r="F36" s="15"/>
      <c r="G36" s="15"/>
      <c r="H36" s="15"/>
      <c r="I36" s="15"/>
      <c r="J36" s="15"/>
      <c r="K36" s="15"/>
    </row>
  </sheetData>
  <mergeCells count="6">
    <mergeCell ref="G3:K3"/>
    <mergeCell ref="B2:F2"/>
    <mergeCell ref="A1:K1"/>
    <mergeCell ref="A35:K35"/>
    <mergeCell ref="D36:K36"/>
    <mergeCell ref="A36:C36"/>
  </mergeCells>
  <conditionalFormatting sqref="G5:K32">
    <cfRule type="expression" dxfId="2" priority="1" stopIfTrue="1">
      <formula>IF(AND($F5="Y",G5="any"),1,0)</formula>
    </cfRule>
    <cfRule type="expression" dxfId="1" priority="2" stopIfTrue="1">
      <formula>IF(AND($F5="N",G5="Y"),1,0)</formula>
    </cfRule>
    <cfRule type="expression" dxfId="0" priority="3">
      <formula>IF(AND($F5&gt;"",G5=""),1,0)</formula>
    </cfRule>
  </conditionalFormatting>
  <pageMargins left="0.7" right="0.7" top="0.75" bottom="0.75" header="0.3" footer="0.3"/>
  <pageSetup orientation="portrait" r:id="rId1"/>
  <headerFooter>
    <oddHeader>&amp;C&amp;"Aptos"&amp;10&amp;KFF0000 OFFICIAL&amp;1#_x000D_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Permission Map Blank</vt:lpstr>
      <vt:lpstr>Permission Map Example 1</vt:lpstr>
    </vt:vector>
  </TitlesOfParts>
  <Company>North Metropolitan TAFE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Gould</dc:creator>
  <cp:lastModifiedBy>Adrian Gould</cp:lastModifiedBy>
  <dcterms:created xsi:type="dcterms:W3CDTF">2026-04-28T03:49:13Z</dcterms:created>
  <dcterms:modified xsi:type="dcterms:W3CDTF">2026-05-18T04:33:15Z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3ac7e5b-5da2-46c7-8677-8a6b50f7d886_Enabled">
    <vt:lpwstr>true</vt:lpwstr>
  </property>
  <property fmtid="{D5CDD505-2E9C-101B-9397-08002B2CF9AE}" pid="3" name="MSIP_Label_f3ac7e5b-5da2-46c7-8677-8a6b50f7d886_SetDate">
    <vt:lpwstr>2026-05-11T02:16:16Z</vt:lpwstr>
  </property>
  <property fmtid="{D5CDD505-2E9C-101B-9397-08002B2CF9AE}" pid="4" name="MSIP_Label_f3ac7e5b-5da2-46c7-8677-8a6b50f7d886_Method">
    <vt:lpwstr>Standard</vt:lpwstr>
  </property>
  <property fmtid="{D5CDD505-2E9C-101B-9397-08002B2CF9AE}" pid="5" name="MSIP_Label_f3ac7e5b-5da2-46c7-8677-8a6b50f7d886_Name">
    <vt:lpwstr>Official</vt:lpwstr>
  </property>
  <property fmtid="{D5CDD505-2E9C-101B-9397-08002B2CF9AE}" pid="6" name="MSIP_Label_f3ac7e5b-5da2-46c7-8677-8a6b50f7d886_SiteId">
    <vt:lpwstr>218881e8-07ad-4142-87d7-f6b90d17009b</vt:lpwstr>
  </property>
  <property fmtid="{D5CDD505-2E9C-101B-9397-08002B2CF9AE}" pid="7" name="MSIP_Label_f3ac7e5b-5da2-46c7-8677-8a6b50f7d886_ActionId">
    <vt:lpwstr>4b7fbb31-9e9a-4baf-baba-f0c751c359d3</vt:lpwstr>
  </property>
  <property fmtid="{D5CDD505-2E9C-101B-9397-08002B2CF9AE}" pid="8" name="MSIP_Label_f3ac7e5b-5da2-46c7-8677-8a6b50f7d886_ContentBits">
    <vt:lpwstr>1</vt:lpwstr>
  </property>
  <property fmtid="{D5CDD505-2E9C-101B-9397-08002B2CF9AE}" pid="9" name="MSIP_Label_f3ac7e5b-5da2-46c7-8677-8a6b50f7d886_Tag">
    <vt:lpwstr>10, 3, 0, 1</vt:lpwstr>
  </property>
</Properties>
</file>